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rialForPOS" sheetId="2" r:id="rId5"/>
  </sheets>
  <definedNames/>
  <calcPr/>
</workbook>
</file>

<file path=xl/sharedStrings.xml><?xml version="1.0" encoding="utf-8"?>
<sst xmlns="http://schemas.openxmlformats.org/spreadsheetml/2006/main" count="61" uniqueCount="33">
  <si>
    <t>Keychain</t>
  </si>
  <si>
    <t xml:space="preserve">Materials </t>
  </si>
  <si>
    <t># of materials/ # of staff</t>
  </si>
  <si>
    <t>original cost</t>
  </si>
  <si>
    <t xml:space="preserve"># of products/material </t>
  </si>
  <si>
    <t>total # of items</t>
  </si>
  <si>
    <t>cost per unit</t>
  </si>
  <si>
    <t>Unit of Measurement</t>
  </si>
  <si>
    <t>Amount per piece</t>
  </si>
  <si>
    <t>50pcs Acrylic Round blank keychain</t>
  </si>
  <si>
    <t>50 pcs Bulk Pokemon Cards Price Reference</t>
  </si>
  <si>
    <t>Labor(nilakihan ko coz why not magpapagod tayo for a week e)</t>
  </si>
  <si>
    <t>Total Price per piece</t>
  </si>
  <si>
    <t>Markup</t>
  </si>
  <si>
    <t xml:space="preserve">Retail Price/Unit per piece
</t>
  </si>
  <si>
    <t>Stickers</t>
  </si>
  <si>
    <t>Waterproof Vinyl sticker A4 size 10pcs</t>
  </si>
  <si>
    <t>Printing</t>
  </si>
  <si>
    <t>Labor(nilakihan ko coz why not magpapagod tayo for a week e) + may extra workload sa stickers for the art lyn and kinah will produce</t>
  </si>
  <si>
    <t>Bookmarks</t>
  </si>
  <si>
    <t>m^2 or Pesos</t>
  </si>
  <si>
    <t xml:space="preserve">Area of PVC: </t>
  </si>
  <si>
    <t>Vellum Board Letter 230gsm 5 sheets</t>
  </si>
  <si>
    <t xml:space="preserve">Area of Bookmark: </t>
  </si>
  <si>
    <t>PVC Book Cover</t>
  </si>
  <si>
    <t xml:space="preserve">  </t>
  </si>
  <si>
    <t xml:space="preserve"> </t>
  </si>
  <si>
    <t xml:space="preserve">Area of PVC/Bookmark: </t>
  </si>
  <si>
    <t>Price of PVC:</t>
  </si>
  <si>
    <t>Price of PVC/m^2:</t>
  </si>
  <si>
    <t>Price of PVC/Bookmark:</t>
  </si>
  <si>
    <t>Bookmarks:</t>
  </si>
  <si>
    <t>Cost of PVC used: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</si>
</sst>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1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1" fillId="0" fontId="5" numFmtId="0" xfId="0" applyAlignment="1" applyBorder="1" applyFont="1">
      <alignment horizontal="right" readingOrder="0"/>
    </xf>
    <xf borderId="0" fillId="2" fontId="5" numFmtId="0" xfId="0" applyAlignment="1" applyFont="1">
      <alignment readingOrder="0"/>
    </xf>
    <xf borderId="0" fillId="2" fontId="5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ph/product/15746086/375807920?d_id=ff1fc&amp;uls_trackid=53tf8ajs00r1&amp;utm_content=2epY7bv74H7Pw5tdMUTVJpDYwHxj" TargetMode="External"/><Relationship Id="rId2" Type="http://schemas.openxmlformats.org/officeDocument/2006/relationships/hyperlink" Target="https://shopee.ph/Pokemon-Cards-Bulk-100-Original-Random-Set-Scarlet-And-Violet-Sword-and-Shield-Era-i.194795073.26765070874?sp_atk=cd7654a3-f26b-4053-aa9c-17b7065b4b57&amp;xptdk=cd7654a3-f26b-4053-aa9c-17b7065b4b57" TargetMode="External"/><Relationship Id="rId3" Type="http://schemas.openxmlformats.org/officeDocument/2006/relationships/hyperlink" Target="https://shopee.ph/product/15746086/850206246?d_id=ff1fc&amp;uls_trackid=53tf8aot02s9&amp;utm_content=2epY7bv74H4rqpfPboSWsCfT3Fj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75"/>
    <col customWidth="1" min="2" max="2" width="19.63"/>
    <col customWidth="1" min="3" max="3" width="10.88"/>
    <col customWidth="1" min="4" max="4" width="18.88"/>
    <col customWidth="1" min="5" max="5" width="14.13"/>
    <col customWidth="1" min="6" max="6" width="11.0"/>
    <col customWidth="1" min="7" max="7" width="17.5"/>
    <col customWidth="1" min="8" max="8" width="15.13"/>
    <col customWidth="1" min="11" max="11" width="20.13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>
      <c r="A4" s="3" t="s">
        <v>9</v>
      </c>
      <c r="B4" s="4">
        <v>50.0</v>
      </c>
      <c r="C4" s="4">
        <v>205.0</v>
      </c>
      <c r="D4" s="4">
        <v>1.0</v>
      </c>
      <c r="E4" s="4">
        <f t="shared" ref="E4:E5" si="1">B4*D4</f>
        <v>50</v>
      </c>
      <c r="F4" s="5">
        <f t="shared" ref="F4:F5" si="2">C4/B4</f>
        <v>4.1</v>
      </c>
      <c r="G4" s="5">
        <f t="shared" ref="G4:G5" si="3">B4/D4</f>
        <v>50</v>
      </c>
      <c r="H4" s="5">
        <f t="shared" ref="H4:H5" si="4">F4/D4</f>
        <v>4.1</v>
      </c>
    </row>
    <row r="5">
      <c r="A5" s="3" t="s">
        <v>10</v>
      </c>
      <c r="B5" s="4">
        <v>50.0</v>
      </c>
      <c r="C5" s="4">
        <v>400.0</v>
      </c>
      <c r="D5" s="4">
        <v>1.0</v>
      </c>
      <c r="E5" s="4">
        <f t="shared" si="1"/>
        <v>50</v>
      </c>
      <c r="F5" s="5">
        <f t="shared" si="2"/>
        <v>8</v>
      </c>
      <c r="G5" s="5">
        <f t="shared" si="3"/>
        <v>50</v>
      </c>
      <c r="H5" s="5">
        <f t="shared" si="4"/>
        <v>8</v>
      </c>
    </row>
    <row r="6">
      <c r="A6" s="4" t="s">
        <v>11</v>
      </c>
      <c r="B6" s="4">
        <v>5.0</v>
      </c>
      <c r="H6" s="6">
        <v>10.0</v>
      </c>
    </row>
    <row r="7">
      <c r="A7" s="7" t="s">
        <v>12</v>
      </c>
      <c r="B7" s="8"/>
      <c r="C7" s="8"/>
      <c r="D7" s="8"/>
      <c r="E7" s="8"/>
      <c r="F7" s="8"/>
      <c r="G7" s="8"/>
      <c r="H7" s="8">
        <f>SUM(H4:H6)</f>
        <v>22.1</v>
      </c>
    </row>
    <row r="8">
      <c r="A8" s="7" t="s">
        <v>13</v>
      </c>
      <c r="B8" s="8"/>
      <c r="C8" s="8"/>
      <c r="D8" s="8"/>
      <c r="E8" s="8"/>
      <c r="F8" s="8"/>
      <c r="G8" s="8"/>
      <c r="H8" s="8">
        <f>H7*0.5</f>
        <v>11.05</v>
      </c>
    </row>
    <row r="9">
      <c r="A9" s="7" t="s">
        <v>14</v>
      </c>
      <c r="B9" s="8"/>
      <c r="C9" s="8"/>
      <c r="D9" s="8"/>
      <c r="E9" s="8"/>
      <c r="F9" s="8"/>
      <c r="G9" s="8"/>
      <c r="H9" s="8">
        <f>Round(H7+H8,0)</f>
        <v>33</v>
      </c>
    </row>
    <row r="10">
      <c r="A10" s="9"/>
      <c r="B10" s="10"/>
      <c r="C10" s="10"/>
      <c r="D10" s="10"/>
      <c r="E10" s="10"/>
      <c r="F10" s="10"/>
      <c r="G10" s="10"/>
      <c r="H10" s="10"/>
    </row>
    <row r="11">
      <c r="A11" s="1" t="s">
        <v>15</v>
      </c>
    </row>
    <row r="13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 t="s">
        <v>6</v>
      </c>
      <c r="G13" s="2" t="s">
        <v>7</v>
      </c>
      <c r="H13" s="2" t="s">
        <v>8</v>
      </c>
    </row>
    <row r="14">
      <c r="A14" s="3" t="s">
        <v>16</v>
      </c>
      <c r="B14" s="4">
        <v>5.0</v>
      </c>
      <c r="C14" s="4">
        <v>105.0</v>
      </c>
      <c r="D14" s="4">
        <v>22.0</v>
      </c>
      <c r="E14" s="5">
        <f t="shared" ref="E14:E15" si="5">B14*D14</f>
        <v>110</v>
      </c>
      <c r="F14" s="5">
        <f t="shared" ref="F14:F15" si="6">C14/B14</f>
        <v>21</v>
      </c>
      <c r="G14" s="5">
        <f>1/D14</f>
        <v>0.04545454545</v>
      </c>
      <c r="H14" s="5">
        <f t="shared" ref="H14:H15" si="7">F14/D14</f>
        <v>0.9545454545</v>
      </c>
    </row>
    <row r="15">
      <c r="A15" s="4" t="s">
        <v>17</v>
      </c>
      <c r="B15" s="4">
        <v>5.0</v>
      </c>
      <c r="C15" s="4">
        <v>75.0</v>
      </c>
      <c r="D15" s="4">
        <v>22.0</v>
      </c>
      <c r="E15" s="5">
        <f t="shared" si="5"/>
        <v>110</v>
      </c>
      <c r="F15" s="5">
        <f t="shared" si="6"/>
        <v>15</v>
      </c>
      <c r="G15" s="5">
        <f>B15/D15</f>
        <v>0.2272727273</v>
      </c>
      <c r="H15" s="5">
        <f t="shared" si="7"/>
        <v>0.6818181818</v>
      </c>
    </row>
    <row r="16">
      <c r="A16" s="4" t="s">
        <v>18</v>
      </c>
      <c r="B16" s="4">
        <v>5.0</v>
      </c>
      <c r="H16" s="6">
        <v>20.0</v>
      </c>
    </row>
    <row r="17">
      <c r="A17" s="7" t="s">
        <v>12</v>
      </c>
      <c r="B17" s="8"/>
      <c r="C17" s="8"/>
      <c r="D17" s="8"/>
      <c r="E17" s="8"/>
      <c r="F17" s="8"/>
      <c r="G17" s="8"/>
      <c r="H17" s="8">
        <f>SUM(H14:H16)</f>
        <v>21.63636364</v>
      </c>
    </row>
    <row r="18">
      <c r="A18" s="7" t="s">
        <v>13</v>
      </c>
      <c r="B18" s="8"/>
      <c r="C18" s="8"/>
      <c r="D18" s="8"/>
      <c r="E18" s="8"/>
      <c r="F18" s="8"/>
      <c r="G18" s="8"/>
      <c r="H18" s="8">
        <f>H17*0.5</f>
        <v>10.81818182</v>
      </c>
    </row>
    <row r="19">
      <c r="A19" s="7" t="s">
        <v>14</v>
      </c>
      <c r="B19" s="8"/>
      <c r="C19" s="8"/>
      <c r="D19" s="8"/>
      <c r="E19" s="8"/>
      <c r="F19" s="8"/>
      <c r="G19" s="8"/>
      <c r="H19" s="8">
        <f>round(H17+H18,0)</f>
        <v>32</v>
      </c>
    </row>
    <row r="20">
      <c r="A20" s="9"/>
      <c r="B20" s="10"/>
      <c r="C20" s="10"/>
      <c r="D20" s="10"/>
      <c r="E20" s="10"/>
      <c r="F20" s="10"/>
      <c r="G20" s="10"/>
      <c r="H20" s="10"/>
    </row>
    <row r="21">
      <c r="A21" s="1" t="s">
        <v>19</v>
      </c>
    </row>
    <row r="22">
      <c r="L22" s="4" t="s">
        <v>20</v>
      </c>
    </row>
    <row r="23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K23" s="4" t="s">
        <v>21</v>
      </c>
      <c r="L23" s="4">
        <v>1.7</v>
      </c>
    </row>
    <row r="24">
      <c r="A24" s="11" t="s">
        <v>22</v>
      </c>
      <c r="B24" s="4">
        <v>5.0</v>
      </c>
      <c r="C24" s="4">
        <v>15.0</v>
      </c>
      <c r="D24" s="4">
        <v>3.0</v>
      </c>
      <c r="E24" s="4">
        <f>B24*D24</f>
        <v>15</v>
      </c>
      <c r="F24" s="5">
        <f>C24/B24</f>
        <v>3</v>
      </c>
      <c r="G24" s="5">
        <f>1/D24</f>
        <v>0.3333333333</v>
      </c>
      <c r="H24" s="5">
        <f>F24/D24</f>
        <v>1</v>
      </c>
      <c r="K24" s="4" t="s">
        <v>23</v>
      </c>
      <c r="L24" s="4">
        <v>0.01435</v>
      </c>
    </row>
    <row r="25">
      <c r="A25" s="11" t="s">
        <v>24</v>
      </c>
      <c r="B25" s="4" t="s">
        <v>25</v>
      </c>
      <c r="C25" s="4" t="s">
        <v>26</v>
      </c>
      <c r="D25" s="4" t="s">
        <v>26</v>
      </c>
      <c r="E25" s="4" t="s">
        <v>26</v>
      </c>
      <c r="F25" s="4" t="s">
        <v>26</v>
      </c>
      <c r="G25" s="4" t="s">
        <v>26</v>
      </c>
      <c r="H25" s="5">
        <f>L28</f>
        <v>0.001129398148</v>
      </c>
      <c r="K25" s="4" t="s">
        <v>27</v>
      </c>
      <c r="L25" s="4">
        <v>0.035875</v>
      </c>
    </row>
    <row r="26">
      <c r="A26" s="4" t="s">
        <v>17</v>
      </c>
      <c r="B26" s="4">
        <v>5.0</v>
      </c>
      <c r="C26" s="4">
        <v>25.0</v>
      </c>
      <c r="D26" s="4">
        <v>3.0</v>
      </c>
      <c r="E26" s="4">
        <f>B26*D26</f>
        <v>15</v>
      </c>
      <c r="F26" s="5">
        <f>C26/B26</f>
        <v>5</v>
      </c>
      <c r="G26" s="5">
        <f>B26/D26</f>
        <v>1.666666667</v>
      </c>
      <c r="H26" s="5">
        <f>F26/D26</f>
        <v>1.666666667</v>
      </c>
      <c r="K26" s="4" t="s">
        <v>28</v>
      </c>
      <c r="L26" s="4">
        <v>54.0</v>
      </c>
    </row>
    <row r="27">
      <c r="A27" s="4" t="s">
        <v>18</v>
      </c>
      <c r="B27" s="4">
        <v>5.0</v>
      </c>
      <c r="H27" s="6">
        <v>15.0</v>
      </c>
      <c r="K27" s="4" t="s">
        <v>29</v>
      </c>
      <c r="L27" s="5">
        <f>L23/L26</f>
        <v>0.03148148148</v>
      </c>
    </row>
    <row r="28">
      <c r="A28" s="7" t="s">
        <v>12</v>
      </c>
      <c r="B28" s="8"/>
      <c r="C28" s="8"/>
      <c r="D28" s="8"/>
      <c r="E28" s="8"/>
      <c r="F28" s="8"/>
      <c r="G28" s="8"/>
      <c r="H28" s="8">
        <f>SUM(H25:H27)</f>
        <v>16.66779606</v>
      </c>
      <c r="K28" s="12" t="s">
        <v>30</v>
      </c>
      <c r="L28" s="13">
        <f>L25*L27</f>
        <v>0.001129398148</v>
      </c>
    </row>
    <row r="29">
      <c r="A29" s="7" t="s">
        <v>13</v>
      </c>
      <c r="B29" s="8"/>
      <c r="C29" s="8"/>
      <c r="D29" s="8"/>
      <c r="E29" s="8"/>
      <c r="F29" s="8"/>
      <c r="G29" s="8"/>
      <c r="H29" s="8">
        <f>H28*0.5</f>
        <v>8.333898032</v>
      </c>
      <c r="K29" s="4" t="s">
        <v>31</v>
      </c>
      <c r="L29" s="4">
        <v>15.0</v>
      </c>
    </row>
    <row r="30">
      <c r="A30" s="7" t="s">
        <v>14</v>
      </c>
      <c r="B30" s="8"/>
      <c r="C30" s="8"/>
      <c r="D30" s="8"/>
      <c r="E30" s="8"/>
      <c r="F30" s="8"/>
      <c r="G30" s="8"/>
      <c r="H30" s="8">
        <f>round(H28+H29,0)</f>
        <v>25</v>
      </c>
      <c r="K30" s="4" t="s">
        <v>32</v>
      </c>
      <c r="L30" s="5">
        <f>L28*L29</f>
        <v>0.01694097222</v>
      </c>
    </row>
  </sheetData>
  <mergeCells count="3">
    <mergeCell ref="A1:A2"/>
    <mergeCell ref="A11:A12"/>
    <mergeCell ref="A21:A22"/>
  </mergeCells>
  <hyperlinks>
    <hyperlink r:id="rId1" ref="A4"/>
    <hyperlink r:id="rId2" ref="A5"/>
    <hyperlink r:id="rId3" ref="A1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